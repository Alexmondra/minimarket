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bff7acc05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_Importacion" sheetId="1" r:id="R61de055b92b94cca"/>
    <x:sheet xmlns:r="http://schemas.openxmlformats.org/officeDocument/2006/relationships" name="Categorias" sheetId="2" r:id="R3d7739db51de4dfb"/>
    <x:sheet xmlns:r="http://schemas.openxmlformats.org/officeDocument/2006/relationships" name="Marcas" sheetId="3" r:id="R8a5013ee9d614fdc"/>
    <x:sheet xmlns:r="http://schemas.openxmlformats.org/officeDocument/2006/relationships" name="Unidades" sheetId="4" r:id="Re2fd16d946f04111"/>
    <x:sheet xmlns:r="http://schemas.openxmlformats.org/officeDocument/2006/relationships" name="Reglas_Importacion" sheetId="5" r:id="Rff5d04555cee48e9"/>
    <x:sheet xmlns:r="http://schemas.openxmlformats.org/officeDocument/2006/relationships" name="Resumen" sheetId="6" r:id="Rbd2cafd3e1ca41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S/ #,##0.00"/>
    <x:numFmt numFmtId="201" formatCode="0.###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AD47"/>
      </x:patternFill>
    </x:fill>
    <x:fill>
      <x:patternFill patternType="solid">
        <x:fgColor rgb="4472C4"/>
      </x:patternFill>
    </x:fill>
    <x:fill>
      <x:patternFill patternType="solid">
        <x:fgColor rgb="ED7D31"/>
      </x:patternFill>
    </x:fill>
    <x:fill>
      <x:patternFill patternType="solid">
        <x:fgColor rgb="8064A2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2CC"/>
        </x:patternFill>
      </x:fill>
    </x:dxf>
    <x:dxf>
      <x:font>
        <x:color rgb="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c4cfb8d1848fc" /><Relationship Type="http://schemas.openxmlformats.org/officeDocument/2006/relationships/theme" Target="/xl/theme/theme1.xml" Id="R26531db751884b7a" /><Relationship Type="http://schemas.microsoft.com/office/2022/11/relationships/FeaturePropertyBag" Target="/xl/featurePropertyBag/featurePropertyBag.xml" Id="R643fda8435f04bf3" /><Relationship Type="http://schemas.openxmlformats.org/officeDocument/2006/relationships/sharedStrings" Target="/xl/sharedStrings.xml" Id="Rb4354d51c6074d1f" /><Relationship Type="http://schemas.openxmlformats.org/officeDocument/2006/relationships/worksheet" Target="/xl/worksheets/sheet1.xml" Id="R61de055b92b94cca" /><Relationship Type="http://schemas.openxmlformats.org/officeDocument/2006/relationships/worksheet" Target="/xl/worksheets/sheet2.xml" Id="R3d7739db51de4dfb" /><Relationship Type="http://schemas.openxmlformats.org/officeDocument/2006/relationships/worksheet" Target="/xl/worksheets/sheet3.xml" Id="R8a5013ee9d614fdc" /><Relationship Type="http://schemas.openxmlformats.org/officeDocument/2006/relationships/worksheet" Target="/xl/worksheets/sheet4.xml" Id="Re2fd16d946f04111" /><Relationship Type="http://schemas.openxmlformats.org/officeDocument/2006/relationships/worksheet" Target="/xl/worksheets/sheet5.xml" Id="Rff5d04555cee48e9" /><Relationship Type="http://schemas.openxmlformats.org/officeDocument/2006/relationships/worksheet" Target="/xl/worksheets/sheet6.xml" Id="Rbd2cafd3e1ca41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CatalogoImportacion" displayName="TablaCatalogoImportacion" ref="A1:X17" headerRowCount="1">
  <x:tableColumns count="24">
    <x:tableColumn id="1" name="empresa_id"/>
    <x:tableColumn id="2" name="codigo_interno_producto"/>
    <x:tableColumn id="3" name="producto_nombre"/>
    <x:tableColumn id="4" name="slug_sugerido"/>
    <x:tableColumn id="5" name="marca"/>
    <x:tableColumn id="6" name="categoria"/>
    <x:tableColumn id="7" name="descripcion"/>
    <x:tableColumn id="8" name="afecto_igv"/>
    <x:tableColumn id="9" name="activo_producto"/>
    <x:tableColumn id="10" name="presentacion_codigo"/>
    <x:tableColumn id="11" name="presentacion_base_codigo"/>
    <x:tableColumn id="12" name="tipo_presentacion"/>
    <x:tableColumn id="13" name="cantidad"/>
    <x:tableColumn id="14" name="unidad_abreviatura"/>
    <x:tableColumn id="15" name="es_pesable"/>
    <x:tableColumn id="16" name="factor_conversion_a_base"/>
    <x:tableColumn id="17" name="precio_compra_ref"/>
    <x:tableColumn id="18" name="precio_venta_ref"/>
    <x:tableColumn id="19" name="margen_ref"/>
    <x:tableColumn id="20" name="codigo_barra"/>
    <x:tableColumn id="21" name="imagen_url"/>
    <x:tableColumn id="22" name="fuente_sugerida"/>
    <x:tableColumn id="23" name="estado_importacion"/>
    <x:tableColumn id="24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TablaCategorias" displayName="TablaCategorias" ref="A1:C7" headerRowCount="1">
  <x:tableColumns count="3">
    <x:tableColumn id="1" name="nombre"/>
    <x:tableColumn id="2" name="descripcion"/>
    <x:tableColumn id="3" name="estado"/>
  </x:tableColumns>
  <x:tableStyleInfo name="TableStyleMedium2" showRowStripes="1"/>
</x:table>
</file>

<file path=xl/tables/table3.xml><?xml version="1.0" encoding="utf-8"?>
<x:table xmlns:x="http://schemas.openxmlformats.org/spreadsheetml/2006/main" id="3" name="TablaMarcas" displayName="TablaMarcas" ref="A1:B11" headerRowCount="1">
  <x:tableColumns count="2">
    <x:tableColumn id="1" name="nombre"/>
    <x:tableColumn id="2" name="descripcion"/>
  </x:tableColumns>
  <x:tableStyleInfo name="TableStyleMedium2" showRowStripes="1"/>
</x:table>
</file>

<file path=xl/tables/table4.xml><?xml version="1.0" encoding="utf-8"?>
<x:table xmlns:x="http://schemas.openxmlformats.org/spreadsheetml/2006/main" id="4" name="TablaUnidades" displayName="TablaUnidades" ref="A1:D6" headerRowCount="1">
  <x:tableColumns count="4">
    <x:tableColumn id="1" name="nombre"/>
    <x:tableColumn id="2" name="abreviatura"/>
    <x:tableColumn id="3" name="activo"/>
    <x:tableColumn id="4" name="uso"/>
  </x:tableColumns>
  <x:tableStyleInfo name="TableStyleMedium2" showRowStripes="1"/>
</x:table>
</file>

<file path=xl/tables/table5.xml><?xml version="1.0" encoding="utf-8"?>
<x:table xmlns:x="http://schemas.openxmlformats.org/spreadsheetml/2006/main" id="5" name="TablaReglas" displayName="TablaReglas" ref="A1:B9" headerRowCount="1">
  <x:tableColumns count="2">
    <x:tableColumn id="1" name="Regla"/>
    <x:tableColumn id="2" name="Explicación"/>
  </x:tableColumns>
  <x:tableStyleInfo name="TableStyleMedium2" showRowStripes="1"/>
</x:table>
</file>

<file path=xl/tables/table6.xml><?xml version="1.0" encoding="utf-8"?>
<x:table xmlns:x="http://schemas.openxmlformats.org/spreadsheetml/2006/main" id="6" name="TablaResumen" displayName="TablaResumen" ref="A1:B6" headerRowCount="1">
  <x:tableColumns count="2">
    <x:tableColumn id="1" name="Métrica"/>
    <x:tableColumn id="2" name="Val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526a1104524e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db0671ead64d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5989a9448b34e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fcf30f8496b43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70a74df9c7b47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00bb157f10b459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4" hidden="0" customWidth="1"/>
    <x:col min="4" max="4" width="32" hidden="0" customWidth="1"/>
    <x:col min="5" max="5" width="18" hidden="0" customWidth="1"/>
    <x:col min="6" max="6" width="24" hidden="0" customWidth="1"/>
    <x:col min="7" max="7" width="42" hidden="0" customWidth="1"/>
    <x:col min="8" max="8" width="12" hidden="0" customWidth="1"/>
    <x:col min="9" max="9" width="14" hidden="0" customWidth="1"/>
    <x:col min="10" max="10" width="22" hidden="0" customWidth="1"/>
    <x:col min="11" max="11" width="22" hidden="0" customWidth="1"/>
    <x:col min="12" max="12" width="22" hidden="0" customWidth="1"/>
    <x:col min="13" max="13" width="12" hidden="0" customWidth="1"/>
    <x:col min="14" max="14" width="14" hidden="0" customWidth="1"/>
    <x:col min="15" max="15" width="12" hidden="0" customWidth="1"/>
    <x:col min="16" max="16" width="20" hidden="0" customWidth="1"/>
    <x:col min="17" max="17" width="16" hidden="0" customWidth="1"/>
    <x:col min="18" max="18" width="16" hidden="0" customWidth="1"/>
    <x:col min="19" max="19" width="14" hidden="0" customWidth="1"/>
    <x:col min="20" max="20" width="22" hidden="0" customWidth="1"/>
    <x:col min="21" max="21" width="28" hidden="0" customWidth="1"/>
    <x:col min="22" max="22" width="34" hidden="0" customWidth="1"/>
    <x:col min="23" max="23" width="22" hidden="0" customWidth="1"/>
    <x:col min="24" max="24" width="44" hidden="0" customWidth="1"/>
  </x:cols>
  <x:sheetData>
    <x:row r="1" ht="34" customHeight="1">
      <x:c r="A1" s="8" t="str">
        <x:v>empresa_id</x:v>
      </x:c>
      <x:c r="B1" s="8" t="str">
        <x:v>codigo_interno_producto</x:v>
      </x:c>
      <x:c r="C1" s="8" t="str">
        <x:v>producto_nombre</x:v>
      </x:c>
      <x:c r="D1" s="8" t="str">
        <x:v>slug_sugerido</x:v>
      </x:c>
      <x:c r="E1" s="8" t="str">
        <x:v>marca</x:v>
      </x:c>
      <x:c r="F1" s="8" t="str">
        <x:v>categoria</x:v>
      </x:c>
      <x:c r="G1" s="8" t="str">
        <x:v>descripcion</x:v>
      </x:c>
      <x:c r="H1" s="8" t="str">
        <x:v>afecto_igv</x:v>
      </x:c>
      <x:c r="I1" s="8" t="str">
        <x:v>activo_producto</x:v>
      </x:c>
      <x:c r="J1" s="8" t="str">
        <x:v>presentacion_codigo</x:v>
      </x:c>
      <x:c r="K1" s="8" t="str">
        <x:v>presentacion_base_codigo</x:v>
      </x:c>
      <x:c r="L1" s="8" t="str">
        <x:v>tipo_presentacion</x:v>
      </x:c>
      <x:c r="M1" s="8" t="str">
        <x:v>cantidad</x:v>
      </x:c>
      <x:c r="N1" s="8" t="str">
        <x:v>unidad_abreviatura</x:v>
      </x:c>
      <x:c r="O1" s="8" t="str">
        <x:v>es_pesable</x:v>
      </x:c>
      <x:c r="P1" s="8" t="str">
        <x:v>factor_conversion_a_base</x:v>
      </x:c>
      <x:c r="Q1" s="8" t="str">
        <x:v>precio_compra_ref</x:v>
      </x:c>
      <x:c r="R1" s="8" t="str">
        <x:v>precio_venta_ref</x:v>
      </x:c>
      <x:c r="S1" s="8" t="str">
        <x:v>margen_ref</x:v>
      </x:c>
      <x:c r="T1" s="8" t="str">
        <x:v>codigo_barra</x:v>
      </x:c>
      <x:c r="U1" s="8" t="str">
        <x:v>imagen_url</x:v>
      </x:c>
      <x:c r="V1" s="8" t="str">
        <x:v>fuente_sugerida</x:v>
      </x:c>
      <x:c r="W1" s="8" t="str">
        <x:v>estado_importacion</x:v>
      </x:c>
      <x:c r="X1" s="8" t="str">
        <x:v>notas</x:v>
      </x:c>
    </x:row>
    <x:row r="2">
      <x:c r="A2" s="18" t="n">
        <x:v>1</x:v>
      </x:c>
      <x:c r="B2" s="18" t="str">
        <x:v>PROD-001</x:v>
      </x:c>
      <x:c r="C2" s="18" t="str">
        <x:v>Coca-Cola Sabor Original</x:v>
      </x:c>
      <x:c r="D2" s="18" t="str">
        <x:f>LOWER(SUBSTITUTE(SUBSTITUTE(SUBSTITUTE(SUBSTITUTE(SUBSTITUTE(C2," ","-"),"á","a"),"é","e"),"í","i"),"ó","o"))</x:f>
        <x:v>coca-cola-sabor-original</x:v>
      </x:c>
      <x:c r="E2" s="18" t="str">
        <x:v>Coca-Cola</x:v>
      </x:c>
      <x:c r="F2" s="18" t="str">
        <x:v>Bebidas</x:v>
      </x:c>
      <x:c r="G2" s="18" t="str">
        <x:v>Gaseosa sabor cola. Producto base para varias presentaciones.</x:v>
      </x:c>
      <x:c r="H2" s="19" t="b">
        <x:v>1</x:v>
      </x:c>
      <x:c r="I2" s="19" t="b">
        <x:v>1</x:v>
      </x:c>
      <x:c r="J2" s="18" t="str">
        <x:v>PRES-001-500ML</x:v>
      </x:c>
      <x:c r="K2" s="18" t="str"/>
      <x:c r="L2" s="18" t="str">
        <x:v>Botella</x:v>
      </x:c>
      <x:c r="M2" s="24" t="n">
        <x:v>500</x:v>
      </x:c>
      <x:c r="N2" s="18" t="str">
        <x:v>ml</x:v>
      </x:c>
      <x:c r="O2" s="19" t="b">
        <x:v>0</x:v>
      </x:c>
      <x:c r="P2" s="24" t="n">
        <x:v>1</x:v>
      </x:c>
      <x:c r="Q2" s="22" t="n">
        <x:v>1.8</x:v>
      </x:c>
      <x:c r="R2" s="22" t="n">
        <x:v>2.5</x:v>
      </x:c>
      <x:c r="S2" s="22" t="n">
        <x:f>R2-Q2</x:f>
        <x:v>0.7</x:v>
      </x:c>
      <x:c r="T2" s="18" t="str"/>
      <x:c r="U2" s="18" t="str"/>
      <x:c r="V2" s="18" t="str">
        <x:v>Escaneo / Open Food Facts</x:v>
      </x:c>
      <x:c r="W2" s="18" t="str">
        <x:v>pendiente_revision</x:v>
      </x:c>
      <x:c r="X2" s="18" t="str">
        <x:v>Completar código de barra escaneando el envase.</x:v>
      </x:c>
    </x:row>
    <x:row r="3">
      <x:c r="A3" s="18" t="n">
        <x:v>1</x:v>
      </x:c>
      <x:c r="B3" s="18" t="str">
        <x:v>PROD-001</x:v>
      </x:c>
      <x:c r="C3" s="18" t="str">
        <x:v>Coca-Cola Sabor Original</x:v>
      </x:c>
      <x:c r="D3" s="18" t="str">
        <x:f>LOWER(SUBSTITUTE(SUBSTITUTE(SUBSTITUTE(SUBSTITUTE(SUBSTITUTE(C3," ","-"),"á","a"),"é","e"),"í","i"),"ó","o"))</x:f>
        <x:v>coca-cola-sabor-original</x:v>
      </x:c>
      <x:c r="E3" s="18" t="str">
        <x:v>Coca-Cola</x:v>
      </x:c>
      <x:c r="F3" s="18" t="str">
        <x:v>Bebidas</x:v>
      </x:c>
      <x:c r="G3" s="18" t="str">
        <x:v>Gaseosa sabor cola. Producto base para varias presentaciones.</x:v>
      </x:c>
      <x:c r="H3" s="19" t="b">
        <x:v>1</x:v>
      </x:c>
      <x:c r="I3" s="19" t="b">
        <x:v>1</x:v>
      </x:c>
      <x:c r="J3" s="18" t="str">
        <x:v>PRES-001-1.5L</x:v>
      </x:c>
      <x:c r="K3" s="18" t="str"/>
      <x:c r="L3" s="18" t="str">
        <x:v>Botella</x:v>
      </x:c>
      <x:c r="M3" s="24" t="n">
        <x:v>1.5</x:v>
      </x:c>
      <x:c r="N3" s="18" t="str">
        <x:v>L</x:v>
      </x:c>
      <x:c r="O3" s="19" t="b">
        <x:v>0</x:v>
      </x:c>
      <x:c r="P3" s="24" t="n">
        <x:v>1</x:v>
      </x:c>
      <x:c r="Q3" s="22" t="n">
        <x:v>4.2</x:v>
      </x:c>
      <x:c r="R3" s="22" t="n">
        <x:v>5.5</x:v>
      </x:c>
      <x:c r="S3" s="22" t="n">
        <x:f>R3-Q3</x:f>
        <x:v>1.2999999999999998</x:v>
      </x:c>
      <x:c r="T3" s="18" t="str"/>
      <x:c r="U3" s="18" t="str"/>
      <x:c r="V3" s="18" t="str">
        <x:v>Escaneo / Open Food Facts</x:v>
      </x:c>
      <x:c r="W3" s="18" t="str">
        <x:v>pendiente_revision</x:v>
      </x:c>
      <x:c r="X3" s="18" t="str">
        <x:v>Mismo producto base, distinta presentación vendible.</x:v>
      </x:c>
    </x:row>
    <x:row r="4">
      <x:c r="A4" s="18" t="n">
        <x:v>1</x:v>
      </x:c>
      <x:c r="B4" s="18" t="str">
        <x:v>PROD-001</x:v>
      </x:c>
      <x:c r="C4" s="18" t="str">
        <x:v>Coca-Cola Sabor Original</x:v>
      </x:c>
      <x:c r="D4" s="18" t="str">
        <x:f>LOWER(SUBSTITUTE(SUBSTITUTE(SUBSTITUTE(SUBSTITUTE(SUBSTITUTE(C4," ","-"),"á","a"),"é","e"),"í","i"),"ó","o"))</x:f>
        <x:v>coca-cola-sabor-original</x:v>
      </x:c>
      <x:c r="E4" s="18" t="str">
        <x:v>Coca-Cola</x:v>
      </x:c>
      <x:c r="F4" s="18" t="str">
        <x:v>Bebidas</x:v>
      </x:c>
      <x:c r="G4" s="18" t="str">
        <x:v>Gaseosa sabor cola. Producto base para varias presentaciones.</x:v>
      </x:c>
      <x:c r="H4" s="19" t="b">
        <x:v>1</x:v>
      </x:c>
      <x:c r="I4" s="19" t="b">
        <x:v>1</x:v>
      </x:c>
      <x:c r="J4" s="18" t="str">
        <x:v>PRES-001-CAJA12</x:v>
      </x:c>
      <x:c r="K4" s="18" t="str">
        <x:v>PRES-001-500ML</x:v>
      </x:c>
      <x:c r="L4" s="18" t="str">
        <x:v>Caja x 12 botellas</x:v>
      </x:c>
      <x:c r="M4" s="24" t="n">
        <x:v>12</x:v>
      </x:c>
      <x:c r="N4" s="18" t="str">
        <x:v>und</x:v>
      </x:c>
      <x:c r="O4" s="19" t="b">
        <x:v>0</x:v>
      </x:c>
      <x:c r="P4" s="24" t="n">
        <x:v>12</x:v>
      </x:c>
      <x:c r="Q4" s="22" t="n">
        <x:v>21</x:v>
      </x:c>
      <x:c r="R4" s="22" t="n">
        <x:v>28</x:v>
      </x:c>
      <x:c r="S4" s="22" t="n">
        <x:f>R4-Q4</x:f>
        <x:v>7</x:v>
      </x:c>
      <x:c r="T4" s="18" t="str"/>
      <x:c r="U4" s="18" t="str"/>
      <x:c r="V4" s="18" t="str">
        <x:v>Proveedor / factura</x:v>
      </x:c>
      <x:c r="W4" s="18" t="str">
        <x:v>pendiente_revision</x:v>
      </x:c>
      <x:c r="X4" s="18" t="str">
        <x:v>Esta presentación debe descomprimirse hacia la botella 500 ml.</x:v>
      </x:c>
    </x:row>
    <x:row r="5">
      <x:c r="A5" s="18" t="n">
        <x:v>1</x:v>
      </x:c>
      <x:c r="B5" s="18" t="str">
        <x:v>PROD-002</x:v>
      </x:c>
      <x:c r="C5" s="18" t="str">
        <x:v>Inca Kola Original</x:v>
      </x:c>
      <x:c r="D5" s="18" t="str">
        <x:f>LOWER(SUBSTITUTE(SUBSTITUTE(SUBSTITUTE(SUBSTITUTE(SUBSTITUTE(C5," ","-"),"á","a"),"é","e"),"í","i"),"ó","o"))</x:f>
        <x:v>inca-kola-original</x:v>
      </x:c>
      <x:c r="E5" s="18" t="str">
        <x:v>Inca Kola</x:v>
      </x:c>
      <x:c r="F5" s="18" t="str">
        <x:v>Bebidas</x:v>
      </x:c>
      <x:c r="G5" s="18" t="str">
        <x:v>Gaseosa sabor hierba luisa. Producto base para varias presentaciones.</x:v>
      </x:c>
      <x:c r="H5" s="19" t="b">
        <x:v>1</x:v>
      </x:c>
      <x:c r="I5" s="19" t="b">
        <x:v>1</x:v>
      </x:c>
      <x:c r="J5" s="18" t="str">
        <x:v>PRES-002-500ML</x:v>
      </x:c>
      <x:c r="K5" s="18" t="str"/>
      <x:c r="L5" s="18" t="str">
        <x:v>Botella</x:v>
      </x:c>
      <x:c r="M5" s="24" t="n">
        <x:v>500</x:v>
      </x:c>
      <x:c r="N5" s="18" t="str">
        <x:v>ml</x:v>
      </x:c>
      <x:c r="O5" s="19" t="b">
        <x:v>0</x:v>
      </x:c>
      <x:c r="P5" s="24" t="n">
        <x:v>1</x:v>
      </x:c>
      <x:c r="Q5" s="22" t="n">
        <x:v>1.8</x:v>
      </x:c>
      <x:c r="R5" s="22" t="n">
        <x:v>2.5</x:v>
      </x:c>
      <x:c r="S5" s="22" t="n">
        <x:f>R5-Q5</x:f>
        <x:v>0.7</x:v>
      </x:c>
      <x:c r="T5" s="18" t="str"/>
      <x:c r="U5" s="18" t="str"/>
      <x:c r="V5" s="18" t="str">
        <x:v>Escaneo / Open Food Facts</x:v>
      </x:c>
      <x:c r="W5" s="18" t="str">
        <x:v>pendiente_revision</x:v>
      </x:c>
      <x:c r="X5" s="18" t="str">
        <x:v>Completar código de barra escaneando el envase.</x:v>
      </x:c>
    </x:row>
    <x:row r="6">
      <x:c r="A6" s="18" t="n">
        <x:v>1</x:v>
      </x:c>
      <x:c r="B6" s="18" t="str">
        <x:v>PROD-002</x:v>
      </x:c>
      <x:c r="C6" s="18" t="str">
        <x:v>Inca Kola Original</x:v>
      </x:c>
      <x:c r="D6" s="18" t="str">
        <x:f>LOWER(SUBSTITUTE(SUBSTITUTE(SUBSTITUTE(SUBSTITUTE(SUBSTITUTE(C6," ","-"),"á","a"),"é","e"),"í","i"),"ó","o"))</x:f>
        <x:v>inca-kola-original</x:v>
      </x:c>
      <x:c r="E6" s="18" t="str">
        <x:v>Inca Kola</x:v>
      </x:c>
      <x:c r="F6" s="18" t="str">
        <x:v>Bebidas</x:v>
      </x:c>
      <x:c r="G6" s="18" t="str">
        <x:v>Gaseosa sabor hierba luisa. Producto base para varias presentaciones.</x:v>
      </x:c>
      <x:c r="H6" s="19" t="b">
        <x:v>1</x:v>
      </x:c>
      <x:c r="I6" s="19" t="b">
        <x:v>1</x:v>
      </x:c>
      <x:c r="J6" s="18" t="str">
        <x:v>PRES-002-1.5L</x:v>
      </x:c>
      <x:c r="K6" s="18" t="str"/>
      <x:c r="L6" s="18" t="str">
        <x:v>Botella</x:v>
      </x:c>
      <x:c r="M6" s="24" t="n">
        <x:v>1.5</x:v>
      </x:c>
      <x:c r="N6" s="18" t="str">
        <x:v>L</x:v>
      </x:c>
      <x:c r="O6" s="19" t="b">
        <x:v>0</x:v>
      </x:c>
      <x:c r="P6" s="24" t="n">
        <x:v>1</x:v>
      </x:c>
      <x:c r="Q6" s="22" t="n">
        <x:v>4.2</x:v>
      </x:c>
      <x:c r="R6" s="22" t="n">
        <x:v>5.5</x:v>
      </x:c>
      <x:c r="S6" s="22" t="n">
        <x:f>R6-Q6</x:f>
        <x:v>1.2999999999999998</x:v>
      </x:c>
      <x:c r="T6" s="18" t="str"/>
      <x:c r="U6" s="18" t="str"/>
      <x:c r="V6" s="18" t="str">
        <x:v>Escaneo / Open Food Facts</x:v>
      </x:c>
      <x:c r="W6" s="18" t="str">
        <x:v>pendiente_revision</x:v>
      </x:c>
      <x:c r="X6" s="18" t="str">
        <x:v>Revisar presentación real del proveedor.</x:v>
      </x:c>
    </x:row>
    <x:row r="7">
      <x:c r="A7" s="18" t="n">
        <x:v>1</x:v>
      </x:c>
      <x:c r="B7" s="18" t="str">
        <x:v>PROD-003</x:v>
      </x:c>
      <x:c r="C7" s="18" t="str">
        <x:v>Agua Cielo Sin Gas</x:v>
      </x:c>
      <x:c r="D7" s="18" t="str">
        <x:f>LOWER(SUBSTITUTE(SUBSTITUTE(SUBSTITUTE(SUBSTITUTE(SUBSTITUTE(C7," ","-"),"á","a"),"é","e"),"í","i"),"ó","o"))</x:f>
        <x:v>agua-cielo-sin-gas</x:v>
      </x:c>
      <x:c r="E7" s="18" t="str">
        <x:v>Cielo</x:v>
      </x:c>
      <x:c r="F7" s="18" t="str">
        <x:v>Bebidas</x:v>
      </x:c>
      <x:c r="G7" s="18" t="str">
        <x:v>Agua de mesa sin gas.</x:v>
      </x:c>
      <x:c r="H7" s="19" t="b">
        <x:v>1</x:v>
      </x:c>
      <x:c r="I7" s="19" t="b">
        <x:v>1</x:v>
      </x:c>
      <x:c r="J7" s="18" t="str">
        <x:v>PRES-003-625ML</x:v>
      </x:c>
      <x:c r="K7" s="18" t="str"/>
      <x:c r="L7" s="18" t="str">
        <x:v>Botella</x:v>
      </x:c>
      <x:c r="M7" s="24" t="n">
        <x:v>625</x:v>
      </x:c>
      <x:c r="N7" s="18" t="str">
        <x:v>ml</x:v>
      </x:c>
      <x:c r="O7" s="19" t="b">
        <x:v>0</x:v>
      </x:c>
      <x:c r="P7" s="24" t="n">
        <x:v>1</x:v>
      </x:c>
      <x:c r="Q7" s="22" t="n">
        <x:v>1</x:v>
      </x:c>
      <x:c r="R7" s="22" t="n">
        <x:v>1.5</x:v>
      </x:c>
      <x:c r="S7" s="22" t="n">
        <x:f>R7-Q7</x:f>
        <x:v>0.5</x:v>
      </x:c>
      <x:c r="T7" s="18" t="str"/>
      <x:c r="U7" s="18" t="str"/>
      <x:c r="V7" s="18" t="str">
        <x:v>Escaneo / Open Food Facts</x:v>
      </x:c>
      <x:c r="W7" s="18" t="str">
        <x:v>pendiente_revision</x:v>
      </x:c>
      <x:c r="X7" s="18" t="str">
        <x:v>Buena para probar búsqueda por código de barra.</x:v>
      </x:c>
    </x:row>
    <x:row r="8">
      <x:c r="A8" s="18" t="n">
        <x:v>1</x:v>
      </x:c>
      <x:c r="B8" s="18" t="str">
        <x:v>PROD-004</x:v>
      </x:c>
      <x:c r="C8" s="18" t="str">
        <x:v>Leche Evaporada Entera Gloria</x:v>
      </x:c>
      <x:c r="D8" s="18" t="str">
        <x:f>LOWER(SUBSTITUTE(SUBSTITUTE(SUBSTITUTE(SUBSTITUTE(SUBSTITUTE(C8," ","-"),"á","a"),"é","e"),"í","i"),"ó","o"))</x:f>
        <x:v>leche-evaporada-entera-gloria</x:v>
      </x:c>
      <x:c r="E8" s="18" t="str">
        <x:v>Gloria</x:v>
      </x:c>
      <x:c r="F8" s="18" t="str">
        <x:v>Lácteos</x:v>
      </x:c>
      <x:c r="G8" s="18" t="str">
        <x:v>Leche evaporada entera en lata.</x:v>
      </x:c>
      <x:c r="H8" s="19" t="b">
        <x:v>1</x:v>
      </x:c>
      <x:c r="I8" s="19" t="b">
        <x:v>1</x:v>
      </x:c>
      <x:c r="J8" s="18" t="str">
        <x:v>PRES-004-400G</x:v>
      </x:c>
      <x:c r="K8" s="18" t="str"/>
      <x:c r="L8" s="18" t="str">
        <x:v>Lata</x:v>
      </x:c>
      <x:c r="M8" s="24" t="n">
        <x:v>400</x:v>
      </x:c>
      <x:c r="N8" s="18" t="str">
        <x:v>g</x:v>
      </x:c>
      <x:c r="O8" s="19" t="b">
        <x:v>0</x:v>
      </x:c>
      <x:c r="P8" s="24" t="n">
        <x:v>1</x:v>
      </x:c>
      <x:c r="Q8" s="22" t="n">
        <x:v>3.3</x:v>
      </x:c>
      <x:c r="R8" s="22" t="n">
        <x:v>4.2</x:v>
      </x:c>
      <x:c r="S8" s="22" t="n">
        <x:f>R8-Q8</x:f>
        <x:v>0.9000000000000004</x:v>
      </x:c>
      <x:c r="T8" s="18" t="str"/>
      <x:c r="U8" s="18" t="str"/>
      <x:c r="V8" s="18" t="str">
        <x:v>Escaneo / Open Food Facts</x:v>
      </x:c>
      <x:c r="W8" s="18" t="str">
        <x:v>pendiente_revision</x:v>
      </x:c>
      <x:c r="X8" s="18" t="str">
        <x:v>Puede variar por etiqueta o campaña.</x:v>
      </x:c>
    </x:row>
    <x:row r="9">
      <x:c r="A9" s="18" t="n">
        <x:v>1</x:v>
      </x:c>
      <x:c r="B9" s="18" t="str">
        <x:v>PROD-004</x:v>
      </x:c>
      <x:c r="C9" s="18" t="str">
        <x:v>Leche Evaporada Entera Gloria</x:v>
      </x:c>
      <x:c r="D9" s="18" t="str">
        <x:f>LOWER(SUBSTITUTE(SUBSTITUTE(SUBSTITUTE(SUBSTITUTE(SUBSTITUTE(C9," ","-"),"á","a"),"é","e"),"í","i"),"ó","o"))</x:f>
        <x:v>leche-evaporada-entera-gloria</x:v>
      </x:c>
      <x:c r="E9" s="18" t="str">
        <x:v>Gloria</x:v>
      </x:c>
      <x:c r="F9" s="18" t="str">
        <x:v>Lácteos</x:v>
      </x:c>
      <x:c r="G9" s="18" t="str">
        <x:v>Leche evaporada entera en lata.</x:v>
      </x:c>
      <x:c r="H9" s="19" t="b">
        <x:v>1</x:v>
      </x:c>
      <x:c r="I9" s="19" t="b">
        <x:v>1</x:v>
      </x:c>
      <x:c r="J9" s="18" t="str">
        <x:v>PRES-004-PACK6</x:v>
      </x:c>
      <x:c r="K9" s="18" t="str">
        <x:v>PRES-004-400G</x:v>
      </x:c>
      <x:c r="L9" s="18" t="str">
        <x:v>Pack x 6 latas</x:v>
      </x:c>
      <x:c r="M9" s="24" t="n">
        <x:v>6</x:v>
      </x:c>
      <x:c r="N9" s="18" t="str">
        <x:v>und</x:v>
      </x:c>
      <x:c r="O9" s="19" t="b">
        <x:v>0</x:v>
      </x:c>
      <x:c r="P9" s="24" t="n">
        <x:v>6</x:v>
      </x:c>
      <x:c r="Q9" s="22" t="n">
        <x:v>19</x:v>
      </x:c>
      <x:c r="R9" s="22" t="n">
        <x:v>24</x:v>
      </x:c>
      <x:c r="S9" s="22" t="n">
        <x:f>R9-Q9</x:f>
        <x:v>5</x:v>
      </x:c>
      <x:c r="T9" s="18" t="str"/>
      <x:c r="U9" s="18" t="str"/>
      <x:c r="V9" s="18" t="str">
        <x:v>Proveedor / factura</x:v>
      </x:c>
      <x:c r="W9" s="18" t="str">
        <x:v>pendiente_revision</x:v>
      </x:c>
      <x:c r="X9" s="18" t="str">
        <x:v>Pack descomprimible a lata individual.</x:v>
      </x:c>
    </x:row>
    <x:row r="10">
      <x:c r="A10" s="18" t="n">
        <x:v>1</x:v>
      </x:c>
      <x:c r="B10" s="18" t="str">
        <x:v>PROD-005</x:v>
      </x:c>
      <x:c r="C10" s="18" t="str">
        <x:v>Arroz Costeño Extra</x:v>
      </x:c>
      <x:c r="D10" s="18" t="str">
        <x:f>LOWER(SUBSTITUTE(SUBSTITUTE(SUBSTITUTE(SUBSTITUTE(SUBSTITUTE(C10," ","-"),"á","a"),"é","e"),"í","i"),"ó","o"))</x:f>
        <x:v>arroz-costeño-extra</x:v>
      </x:c>
      <x:c r="E10" s="18" t="str">
        <x:v>Costeño</x:v>
      </x:c>
      <x:c r="F10" s="18" t="str">
        <x:v>Abarrotes</x:v>
      </x:c>
      <x:c r="G10" s="18" t="str">
        <x:v>Arroz extra embolsado.</x:v>
      </x:c>
      <x:c r="H10" s="19" t="b">
        <x:v>1</x:v>
      </x:c>
      <x:c r="I10" s="19" t="b">
        <x:v>1</x:v>
      </x:c>
      <x:c r="J10" s="18" t="str">
        <x:v>PRES-005-5KG</x:v>
      </x:c>
      <x:c r="K10" s="18" t="str"/>
      <x:c r="L10" s="18" t="str">
        <x:v>Bolsa</x:v>
      </x:c>
      <x:c r="M10" s="24" t="n">
        <x:v>5</x:v>
      </x:c>
      <x:c r="N10" s="18" t="str">
        <x:v>kg</x:v>
      </x:c>
      <x:c r="O10" s="19" t="b">
        <x:v>0</x:v>
      </x:c>
      <x:c r="P10" s="24" t="n">
        <x:v>1</x:v>
      </x:c>
      <x:c r="Q10" s="22" t="n">
        <x:v>18</x:v>
      </x:c>
      <x:c r="R10" s="22" t="n">
        <x:v>22</x:v>
      </x:c>
      <x:c r="S10" s="22" t="n">
        <x:f>R10-Q10</x:f>
        <x:v>4</x:v>
      </x:c>
      <x:c r="T10" s="18" t="str"/>
      <x:c r="U10" s="18" t="str"/>
      <x:c r="V10" s="18" t="str">
        <x:v>Proveedor / catálogo</x:v>
      </x:c>
      <x:c r="W10" s="18" t="str">
        <x:v>pendiente_revision</x:v>
      </x:c>
      <x:c r="X10" s="18" t="str">
        <x:v>Producto de abarrotes; revisar marca exacta.</x:v>
      </x:c>
    </x:row>
    <x:row r="11">
      <x:c r="A11" s="18" t="n">
        <x:v>1</x:v>
      </x:c>
      <x:c r="B11" s="18" t="str">
        <x:v>PROD-006</x:v>
      </x:c>
      <x:c r="C11" s="18" t="str">
        <x:v>Aceite Vegetal Primor</x:v>
      </x:c>
      <x:c r="D11" s="18" t="str">
        <x:f>LOWER(SUBSTITUTE(SUBSTITUTE(SUBSTITUTE(SUBSTITUTE(SUBSTITUTE(C11," ","-"),"á","a"),"é","e"),"í","i"),"ó","o"))</x:f>
        <x:v>aceite-vegetal-primor</x:v>
      </x:c>
      <x:c r="E11" s="18" t="str">
        <x:v>Primor</x:v>
      </x:c>
      <x:c r="F11" s="18" t="str">
        <x:v>Abarrotes</x:v>
      </x:c>
      <x:c r="G11" s="18" t="str">
        <x:v>Aceite vegetal para consumo.</x:v>
      </x:c>
      <x:c r="H11" s="19" t="b">
        <x:v>1</x:v>
      </x:c>
      <x:c r="I11" s="19" t="b">
        <x:v>1</x:v>
      </x:c>
      <x:c r="J11" s="18" t="str">
        <x:v>PRES-006-900ML</x:v>
      </x:c>
      <x:c r="K11" s="18" t="str"/>
      <x:c r="L11" s="18" t="str">
        <x:v>Botella</x:v>
      </x:c>
      <x:c r="M11" s="24" t="n">
        <x:v>900</x:v>
      </x:c>
      <x:c r="N11" s="18" t="str">
        <x:v>ml</x:v>
      </x:c>
      <x:c r="O11" s="19" t="b">
        <x:v>0</x:v>
      </x:c>
      <x:c r="P11" s="24" t="n">
        <x:v>1</x:v>
      </x:c>
      <x:c r="Q11" s="22" t="n">
        <x:v>7.5</x:v>
      </x:c>
      <x:c r="R11" s="22" t="n">
        <x:v>9.5</x:v>
      </x:c>
      <x:c r="S11" s="22" t="n">
        <x:f>R11-Q11</x:f>
        <x:v>2</x:v>
      </x:c>
      <x:c r="T11" s="18" t="str"/>
      <x:c r="U11" s="18" t="str"/>
      <x:c r="V11" s="18" t="str">
        <x:v>Escaneo / Open Food Facts</x:v>
      </x:c>
      <x:c r="W11" s="18" t="str">
        <x:v>pendiente_revision</x:v>
      </x:c>
      <x:c r="X11" s="18" t="str">
        <x:v>Completar código real del envase.</x:v>
      </x:c>
    </x:row>
    <x:row r="12">
      <x:c r="A12" s="18" t="n">
        <x:v>1</x:v>
      </x:c>
      <x:c r="B12" s="18" t="str">
        <x:v>PROD-007</x:v>
      </x:c>
      <x:c r="C12" s="18" t="str">
        <x:v>Atún Florida Lomitos en Aceite</x:v>
      </x:c>
      <x:c r="D12" s="18" t="str">
        <x:f>LOWER(SUBSTITUTE(SUBSTITUTE(SUBSTITUTE(SUBSTITUTE(SUBSTITUTE(C12," ","-"),"á","a"),"é","e"),"í","i"),"ó","o"))</x:f>
        <x:v>atún-florida-lomitos-en-aceite</x:v>
      </x:c>
      <x:c r="E12" s="18" t="str">
        <x:v>Florida</x:v>
      </x:c>
      <x:c r="F12" s="18" t="str">
        <x:v>Conservas</x:v>
      </x:c>
      <x:c r="G12" s="18" t="str">
        <x:v>Conserva de atún en lata.</x:v>
      </x:c>
      <x:c r="H12" s="19" t="b">
        <x:v>1</x:v>
      </x:c>
      <x:c r="I12" s="19" t="b">
        <x:v>1</x:v>
      </x:c>
      <x:c r="J12" s="18" t="str">
        <x:v>PRES-007-170G</x:v>
      </x:c>
      <x:c r="K12" s="18" t="str"/>
      <x:c r="L12" s="18" t="str">
        <x:v>Lata</x:v>
      </x:c>
      <x:c r="M12" s="24" t="n">
        <x:v>170</x:v>
      </x:c>
      <x:c r="N12" s="18" t="str">
        <x:v>g</x:v>
      </x:c>
      <x:c r="O12" s="19" t="b">
        <x:v>0</x:v>
      </x:c>
      <x:c r="P12" s="24" t="n">
        <x:v>1</x:v>
      </x:c>
      <x:c r="Q12" s="22" t="n">
        <x:v>4.2</x:v>
      </x:c>
      <x:c r="R12" s="22" t="n">
        <x:v>5.5</x:v>
      </x:c>
      <x:c r="S12" s="22" t="n">
        <x:f>R12-Q12</x:f>
        <x:v>1.2999999999999998</x:v>
      </x:c>
      <x:c r="T12" s="18" t="str"/>
      <x:c r="U12" s="18" t="str"/>
      <x:c r="V12" s="18" t="str">
        <x:v>Escaneo / Open Food Facts</x:v>
      </x:c>
      <x:c r="W12" s="18" t="str">
        <x:v>pendiente_revision</x:v>
      </x:c>
      <x:c r="X12" s="18" t="str">
        <x:v>Verificar peso neto exacto.</x:v>
      </x:c>
    </x:row>
    <x:row r="13">
      <x:c r="A13" s="18" t="n">
        <x:v>1</x:v>
      </x:c>
      <x:c r="B13" s="18" t="str">
        <x:v>PROD-008</x:v>
      </x:c>
      <x:c r="C13" s="18" t="str">
        <x:v>Galleta Soda Field</x:v>
      </x:c>
      <x:c r="D13" s="18" t="str">
        <x:f>LOWER(SUBSTITUTE(SUBSTITUTE(SUBSTITUTE(SUBSTITUTE(SUBSTITUTE(C13," ","-"),"á","a"),"é","e"),"í","i"),"ó","o"))</x:f>
        <x:v>galleta-soda-field</x:v>
      </x:c>
      <x:c r="E13" s="18" t="str">
        <x:v>Field</x:v>
      </x:c>
      <x:c r="F13" s="18" t="str">
        <x:v>Snacks y galletas</x:v>
      </x:c>
      <x:c r="G13" s="18" t="str">
        <x:v>Galleta soda en paquete individual.</x:v>
      </x:c>
      <x:c r="H13" s="19" t="b">
        <x:v>1</x:v>
      </x:c>
      <x:c r="I13" s="19" t="b">
        <x:v>1</x:v>
      </x:c>
      <x:c r="J13" s="18" t="str">
        <x:v>PRES-008-34G</x:v>
      </x:c>
      <x:c r="K13" s="18" t="str"/>
      <x:c r="L13" s="18" t="str">
        <x:v>Paquete</x:v>
      </x:c>
      <x:c r="M13" s="24" t="n">
        <x:v>34</x:v>
      </x:c>
      <x:c r="N13" s="18" t="str">
        <x:v>g</x:v>
      </x:c>
      <x:c r="O13" s="19" t="b">
        <x:v>0</x:v>
      </x:c>
      <x:c r="P13" s="24" t="n">
        <x:v>1</x:v>
      </x:c>
      <x:c r="Q13" s="22" t="n">
        <x:v>0.7</x:v>
      </x:c>
      <x:c r="R13" s="22" t="n">
        <x:v>1</x:v>
      </x:c>
      <x:c r="S13" s="22" t="n">
        <x:f>R13-Q13</x:f>
        <x:v>0.30000000000000004</x:v>
      </x:c>
      <x:c r="T13" s="18" t="str"/>
      <x:c r="U13" s="18" t="str"/>
      <x:c r="V13" s="18" t="str">
        <x:v>Escaneo / Open Food Facts</x:v>
      </x:c>
      <x:c r="W13" s="18" t="str">
        <x:v>pendiente_revision</x:v>
      </x:c>
      <x:c r="X13" s="18" t="str">
        <x:v>Producto pequeño para prueba de caja.</x:v>
      </x:c>
    </x:row>
    <x:row r="14">
      <x:c r="A14" s="18" t="n">
        <x:v>1</x:v>
      </x:c>
      <x:c r="B14" s="18" t="str">
        <x:v>PROD-008</x:v>
      </x:c>
      <x:c r="C14" s="18" t="str">
        <x:v>Galleta Soda Field</x:v>
      </x:c>
      <x:c r="D14" s="18" t="str">
        <x:f>LOWER(SUBSTITUTE(SUBSTITUTE(SUBSTITUTE(SUBSTITUTE(SUBSTITUTE(C14," ","-"),"á","a"),"é","e"),"í","i"),"ó","o"))</x:f>
        <x:v>galleta-soda-field</x:v>
      </x:c>
      <x:c r="E14" s="18" t="str">
        <x:v>Field</x:v>
      </x:c>
      <x:c r="F14" s="18" t="str">
        <x:v>Snacks y galletas</x:v>
      </x:c>
      <x:c r="G14" s="18" t="str">
        <x:v>Galleta soda en paquete individual.</x:v>
      </x:c>
      <x:c r="H14" s="19" t="b">
        <x:v>1</x:v>
      </x:c>
      <x:c r="I14" s="19" t="b">
        <x:v>1</x:v>
      </x:c>
      <x:c r="J14" s="18" t="str">
        <x:v>PRES-008-CAJA24</x:v>
      </x:c>
      <x:c r="K14" s="18" t="str">
        <x:v>PRES-008-34G</x:v>
      </x:c>
      <x:c r="L14" s="18" t="str">
        <x:v>Caja x 24 paquetes</x:v>
      </x:c>
      <x:c r="M14" s="24" t="n">
        <x:v>24</x:v>
      </x:c>
      <x:c r="N14" s="18" t="str">
        <x:v>und</x:v>
      </x:c>
      <x:c r="O14" s="19" t="b">
        <x:v>0</x:v>
      </x:c>
      <x:c r="P14" s="24" t="n">
        <x:v>24</x:v>
      </x:c>
      <x:c r="Q14" s="22" t="n">
        <x:v>16</x:v>
      </x:c>
      <x:c r="R14" s="22" t="n">
        <x:v>22</x:v>
      </x:c>
      <x:c r="S14" s="22" t="n">
        <x:f>R14-Q14</x:f>
        <x:v>6</x:v>
      </x:c>
      <x:c r="T14" s="18" t="str"/>
      <x:c r="U14" s="18" t="str"/>
      <x:c r="V14" s="18" t="str">
        <x:v>Proveedor / factura</x:v>
      </x:c>
      <x:c r="W14" s="18" t="str">
        <x:v>pendiente_revision</x:v>
      </x:c>
      <x:c r="X14" s="18" t="str">
        <x:v>Caja descomprimible a paquete individual.</x:v>
      </x:c>
    </x:row>
    <x:row r="15">
      <x:c r="A15" s="18" t="n">
        <x:v>1</x:v>
      </x:c>
      <x:c r="B15" s="18" t="str">
        <x:v>PROD-009</x:v>
      </x:c>
      <x:c r="C15" s="18" t="str">
        <x:v>Dog Chow Adulto Razas Medianas y Grandes</x:v>
      </x:c>
      <x:c r="D15" s="18" t="str">
        <x:f>LOWER(SUBSTITUTE(SUBSTITUTE(SUBSTITUTE(SUBSTITUTE(SUBSTITUTE(C15," ","-"),"á","a"),"é","e"),"í","i"),"ó","o"))</x:f>
        <x:v>dog-chow-adulto-razas-medianas-y-grandes</x:v>
      </x:c>
      <x:c r="E15" s="18" t="str">
        <x:v>Dog Chow</x:v>
      </x:c>
      <x:c r="F15" s="18" t="str">
        <x:v>Alimentos para mascotas</x:v>
      </x:c>
      <x:c r="G15" s="18" t="str">
        <x:v>Alimento balanceado seco para perros adultos.</x:v>
      </x:c>
      <x:c r="H15" s="19" t="b">
        <x:v>1</x:v>
      </x:c>
      <x:c r="I15" s="19" t="b">
        <x:v>1</x:v>
      </x:c>
      <x:c r="J15" s="18" t="str">
        <x:v>PRES-009-15KG</x:v>
      </x:c>
      <x:c r="K15" s="18" t="str"/>
      <x:c r="L15" s="18" t="str">
        <x:v>Bolsa</x:v>
      </x:c>
      <x:c r="M15" s="24" t="n">
        <x:v>15</x:v>
      </x:c>
      <x:c r="N15" s="18" t="str">
        <x:v>kg</x:v>
      </x:c>
      <x:c r="O15" s="19" t="b">
        <x:v>0</x:v>
      </x:c>
      <x:c r="P15" s="24" t="n">
        <x:v>1</x:v>
      </x:c>
      <x:c r="Q15" s="22" t="n">
        <x:v>110</x:v>
      </x:c>
      <x:c r="R15" s="22" t="n">
        <x:v>135</x:v>
      </x:c>
      <x:c r="S15" s="22" t="n">
        <x:f>R15-Q15</x:f>
        <x:v>25</x:v>
      </x:c>
      <x:c r="T15" s="18" t="str"/>
      <x:c r="U15" s="18" t="str"/>
      <x:c r="V15" s="18" t="str">
        <x:v>Escaneo / Open Pet Food Facts / proveedor</x:v>
      </x:c>
      <x:c r="W15" s="18" t="str">
        <x:v>pendiente_revision</x:v>
      </x:c>
      <x:c r="X15" s="18" t="str">
        <x:v>Ideal para probar productos de veterinaria/pet shop.</x:v>
      </x:c>
    </x:row>
    <x:row r="16">
      <x:c r="A16" s="18" t="n">
        <x:v>1</x:v>
      </x:c>
      <x:c r="B16" s="18" t="str">
        <x:v>PROD-010</x:v>
      </x:c>
      <x:c r="C16" s="18" t="str">
        <x:v>Ricocan Adulto Cordero y Cereales</x:v>
      </x:c>
      <x:c r="D16" s="18" t="str">
        <x:f>LOWER(SUBSTITUTE(SUBSTITUTE(SUBSTITUTE(SUBSTITUTE(SUBSTITUTE(C16," ","-"),"á","a"),"é","e"),"í","i"),"ó","o"))</x:f>
        <x:v>ricocan-adulto-cordero-y-cereales</x:v>
      </x:c>
      <x:c r="E16" s="18" t="str">
        <x:v>Ricocan</x:v>
      </x:c>
      <x:c r="F16" s="18" t="str">
        <x:v>Alimentos para mascotas</x:v>
      </x:c>
      <x:c r="G16" s="18" t="str">
        <x:v>Alimento balanceado seco para perros adultos.</x:v>
      </x:c>
      <x:c r="H16" s="19" t="b">
        <x:v>1</x:v>
      </x:c>
      <x:c r="I16" s="19" t="b">
        <x:v>1</x:v>
      </x:c>
      <x:c r="J16" s="18" t="str">
        <x:v>PRES-010-15KG</x:v>
      </x:c>
      <x:c r="K16" s="18" t="str"/>
      <x:c r="L16" s="18" t="str">
        <x:v>Bolsa</x:v>
      </x:c>
      <x:c r="M16" s="24" t="n">
        <x:v>15</x:v>
      </x:c>
      <x:c r="N16" s="18" t="str">
        <x:v>kg</x:v>
      </x:c>
      <x:c r="O16" s="19" t="b">
        <x:v>0</x:v>
      </x:c>
      <x:c r="P16" s="24" t="n">
        <x:v>1</x:v>
      </x:c>
      <x:c r="Q16" s="22" t="n">
        <x:v>95</x:v>
      </x:c>
      <x:c r="R16" s="22" t="n">
        <x:v>118</x:v>
      </x:c>
      <x:c r="S16" s="22" t="n">
        <x:f>R16-Q16</x:f>
        <x:v>23</x:v>
      </x:c>
      <x:c r="T16" s="18" t="str"/>
      <x:c r="U16" s="18" t="str"/>
      <x:c r="V16" s="18" t="str">
        <x:v>Proveedor / catálogo</x:v>
      </x:c>
      <x:c r="W16" s="18" t="str">
        <x:v>pendiente_revision</x:v>
      </x:c>
      <x:c r="X16" s="18" t="str">
        <x:v>Completar datos según presentación real del proveedor.</x:v>
      </x:c>
    </x:row>
    <x:row r="17">
      <x:c r="A17" s="18" t="n">
        <x:v>1</x:v>
      </x:c>
      <x:c r="B17" s="18" t="str">
        <x:v>PROD-010</x:v>
      </x:c>
      <x:c r="C17" s="18" t="str">
        <x:v>Ricocan Adulto Cordero y Cereales</x:v>
      </x:c>
      <x:c r="D17" s="18" t="str">
        <x:f>LOWER(SUBSTITUTE(SUBSTITUTE(SUBSTITUTE(SUBSTITUTE(SUBSTITUTE(C17," ","-"),"á","a"),"é","e"),"í","i"),"ó","o"))</x:f>
        <x:v>ricocan-adulto-cordero-y-cereales</x:v>
      </x:c>
      <x:c r="E17" s="18" t="str">
        <x:v>Ricocan</x:v>
      </x:c>
      <x:c r="F17" s="18" t="str">
        <x:v>Alimentos para mascotas</x:v>
      </x:c>
      <x:c r="G17" s="18" t="str">
        <x:v>Alimento balanceado seco para perros adultos.</x:v>
      </x:c>
      <x:c r="H17" s="19" t="b">
        <x:v>1</x:v>
      </x:c>
      <x:c r="I17" s="19" t="b">
        <x:v>1</x:v>
      </x:c>
      <x:c r="J17" s="18" t="str">
        <x:v>PRES-010-3KG</x:v>
      </x:c>
      <x:c r="K17" s="18" t="str"/>
      <x:c r="L17" s="18" t="str">
        <x:v>Bolsa</x:v>
      </x:c>
      <x:c r="M17" s="24" t="n">
        <x:v>3</x:v>
      </x:c>
      <x:c r="N17" s="18" t="str">
        <x:v>kg</x:v>
      </x:c>
      <x:c r="O17" s="19" t="b">
        <x:v>0</x:v>
      </x:c>
      <x:c r="P17" s="24" t="n">
        <x:v>1</x:v>
      </x:c>
      <x:c r="Q17" s="22" t="n">
        <x:v>24</x:v>
      </x:c>
      <x:c r="R17" s="22" t="n">
        <x:v>32</x:v>
      </x:c>
      <x:c r="S17" s="22" t="n">
        <x:f>R17-Q17</x:f>
        <x:v>8</x:v>
      </x:c>
      <x:c r="T17" s="18" t="str"/>
      <x:c r="U17" s="18" t="str"/>
      <x:c r="V17" s="18" t="str">
        <x:v>Proveedor / catálogo</x:v>
      </x:c>
      <x:c r="W17" s="18" t="str">
        <x:v>pendiente_revision</x:v>
      </x:c>
      <x:c r="X17" s="18" t="str">
        <x:v>Otra presentación del mismo producto base.</x:v>
      </x:c>
    </x:row>
  </x:sheetData>
  <x:conditionalFormatting sqref="W2:W17">
    <x:cfRule type="expression" dxfId="0" priority="1">
      <x:formula>W2="pendiente_revision"</x:formula>
    </x:cfRule>
  </x:conditionalFormatting>
  <x:conditionalFormatting sqref="S2:S17">
    <x:cfRule type="cellIs" dxfId="1" priority="2" operator="lessThan">
      <x:formula>0</x:formula>
    </x:cfRule>
  </x:conditionalFormatting>
  <x:dataValidations count="4">
    <x:dataValidation type="list" sqref="N2:N67">
      <x:formula1>"und,g,kg,ml,L"</x:formula1>
    </x:dataValidation>
    <x:dataValidation type="list" sqref="W2:W67">
      <x:formula1>"pendiente_revision,aprobado,duplicado,error"</x:formula1>
    </x:dataValidation>
    <x:dataValidation type="list" sqref="H2:I67">
      <x:formula1>"TRUE,FALSE"</x:formula1>
    </x:dataValidation>
    <x:dataValidation type="list" sqref="O2:O6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526a1104524e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8" t="str">
        <x:v>nombre</x:v>
      </x:c>
      <x:c r="B1" s="28" t="str">
        <x:v>descripcion</x:v>
      </x:c>
      <x:c r="C1" s="28" t="str">
        <x:v>estado</x:v>
      </x:c>
    </x:row>
    <x:row r="2">
      <x:c r="A2" t="str">
        <x:v>Bebidas</x:v>
      </x:c>
      <x:c r="B2" t="str">
        <x:v>Gaseosas, aguas, jugos y bebidas listas para venta.</x:v>
      </x:c>
      <x:c r="C2" s="1" t="b">
        <x:v>1</x:v>
      </x:c>
    </x:row>
    <x:row r="3">
      <x:c r="A3" t="str">
        <x:v>Lácteos</x:v>
      </x:c>
      <x:c r="B3" t="str">
        <x:v>Leches, yogures, quesos y derivados.</x:v>
      </x:c>
      <x:c r="C3" s="1" t="b">
        <x:v>1</x:v>
      </x:c>
    </x:row>
    <x:row r="4">
      <x:c r="A4" t="str">
        <x:v>Abarrotes</x:v>
      </x:c>
      <x:c r="B4" t="str">
        <x:v>Productos secos de despensa.</x:v>
      </x:c>
      <x:c r="C4" s="1" t="b">
        <x:v>1</x:v>
      </x:c>
    </x:row>
    <x:row r="5">
      <x:c r="A5" t="str">
        <x:v>Conservas</x:v>
      </x:c>
      <x:c r="B5" t="str">
        <x:v>Alimentos enlatados o en conserva.</x:v>
      </x:c>
      <x:c r="C5" s="1" t="b">
        <x:v>1</x:v>
      </x:c>
    </x:row>
    <x:row r="6">
      <x:c r="A6" t="str">
        <x:v>Snacks y galletas</x:v>
      </x:c>
      <x:c r="B6" t="str">
        <x:v>Galletas, snacks y productos pequeños.</x:v>
      </x:c>
      <x:c r="C6" s="1" t="b">
        <x:v>1</x:v>
      </x:c>
    </x:row>
    <x:row r="7">
      <x:c r="A7" t="str">
        <x:v>Alimentos para mascotas</x:v>
      </x:c>
      <x:c r="B7" t="str">
        <x:v>Comida seca, húmeda y snacks para mascotas.</x:v>
      </x:c>
      <x:c r="C7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4db0671ead64d4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34" t="str">
        <x:v>nombre</x:v>
      </x:c>
      <x:c r="B1" s="34" t="str">
        <x:v>descripcion</x:v>
      </x:c>
    </x:row>
    <x:row r="2">
      <x:c r="A2" t="str">
        <x:v>Cielo</x:v>
      </x:c>
      <x:c r="B2" t="str">
        <x:v>Marca sugerida para catálogo inicial.</x:v>
      </x:c>
    </x:row>
    <x:row r="3">
      <x:c r="A3" t="str">
        <x:v>Coca-Cola</x:v>
      </x:c>
      <x:c r="B3" t="str">
        <x:v>Marca sugerida para catálogo inicial.</x:v>
      </x:c>
    </x:row>
    <x:row r="4">
      <x:c r="A4" t="str">
        <x:v>Costeño</x:v>
      </x:c>
      <x:c r="B4" t="str">
        <x:v>Marca sugerida para catálogo inicial.</x:v>
      </x:c>
    </x:row>
    <x:row r="5">
      <x:c r="A5" t="str">
        <x:v>Dog Chow</x:v>
      </x:c>
      <x:c r="B5" t="str">
        <x:v>Marca sugerida para catálogo inicial.</x:v>
      </x:c>
    </x:row>
    <x:row r="6">
      <x:c r="A6" t="str">
        <x:v>Field</x:v>
      </x:c>
      <x:c r="B6" t="str">
        <x:v>Marca sugerida para catálogo inicial.</x:v>
      </x:c>
    </x:row>
    <x:row r="7">
      <x:c r="A7" t="str">
        <x:v>Florida</x:v>
      </x:c>
      <x:c r="B7" t="str">
        <x:v>Marca sugerida para catálogo inicial.</x:v>
      </x:c>
    </x:row>
    <x:row r="8">
      <x:c r="A8" t="str">
        <x:v>Gloria</x:v>
      </x:c>
      <x:c r="B8" t="str">
        <x:v>Marca sugerida para catálogo inicial.</x:v>
      </x:c>
    </x:row>
    <x:row r="9">
      <x:c r="A9" t="str">
        <x:v>Inca Kola</x:v>
      </x:c>
      <x:c r="B9" t="str">
        <x:v>Marca sugerida para catálogo inicial.</x:v>
      </x:c>
    </x:row>
    <x:row r="10">
      <x:c r="A10" t="str">
        <x:v>Primor</x:v>
      </x:c>
      <x:c r="B10" t="str">
        <x:v>Marca sugerida para catálogo inicial.</x:v>
      </x:c>
    </x:row>
    <x:row r="11">
      <x:c r="A11" t="str">
        <x:v>Ricocan</x:v>
      </x:c>
      <x:c r="B11" t="str">
        <x:v>Marca sugerida para catálogo inicial.</x:v>
      </x:c>
    </x:row>
  </x:sheetData>
  <x:pageMargins left="0.7" right="0.7" top="0.75" bottom="0.75" header="0.3" footer="0.3"/>
  <x:tableParts count="1">
    <x:tablePart xmlns:r="http://schemas.openxmlformats.org/officeDocument/2006/relationships" r:id="R15989a9448b34e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0" t="str">
        <x:v>nombre</x:v>
      </x:c>
      <x:c r="B1" s="40" t="str">
        <x:v>abreviatura</x:v>
      </x:c>
      <x:c r="C1" s="40" t="str">
        <x:v>activo</x:v>
      </x:c>
      <x:c r="D1" s="40" t="str">
        <x:v>uso</x:v>
      </x:c>
    </x:row>
    <x:row r="2">
      <x:c r="A2" t="str">
        <x:v>Unidad</x:v>
      </x:c>
      <x:c r="B2" t="str">
        <x:v>und</x:v>
      </x:c>
      <x:c r="C2" s="1" t="b">
        <x:v>1</x:v>
      </x:c>
      <x:c r="D2" t="str">
        <x:v>Unidades, paquetes, cajas o piezas contables.</x:v>
      </x:c>
    </x:row>
    <x:row r="3">
      <x:c r="A3" t="str">
        <x:v>Gramo</x:v>
      </x:c>
      <x:c r="B3" t="str">
        <x:v>g</x:v>
      </x:c>
      <x:c r="C3" s="1" t="b">
        <x:v>1</x:v>
      </x:c>
      <x:c r="D3" t="str">
        <x:v>Productos pequeños o pesos menores.</x:v>
      </x:c>
    </x:row>
    <x:row r="4">
      <x:c r="A4" t="str">
        <x:v>Kilogramo</x:v>
      </x:c>
      <x:c r="B4" t="str">
        <x:v>kg</x:v>
      </x:c>
      <x:c r="C4" s="1" t="b">
        <x:v>1</x:v>
      </x:c>
      <x:c r="D4" t="str">
        <x:v>Bolsas, sacos y productos por peso.</x:v>
      </x:c>
    </x:row>
    <x:row r="5">
      <x:c r="A5" t="str">
        <x:v>Mililitro</x:v>
      </x:c>
      <x:c r="B5" t="str">
        <x:v>ml</x:v>
      </x:c>
      <x:c r="C5" s="1" t="b">
        <x:v>1</x:v>
      </x:c>
      <x:c r="D5" t="str">
        <x:v>Bebidas y líquidos pequeños.</x:v>
      </x:c>
    </x:row>
    <x:row r="6">
      <x:c r="A6" t="str">
        <x:v>Litro</x:v>
      </x:c>
      <x:c r="B6" t="str">
        <x:v>L</x:v>
      </x:c>
      <x:c r="C6" s="1" t="b">
        <x:v>1</x:v>
      </x:c>
      <x:c r="D6" t="str">
        <x:v>Bebidas y líquidos grandes.</x:v>
      </x:c>
    </x:row>
  </x:sheetData>
  <x:pageMargins left="0.7" right="0.7" top="0.75" bottom="0.75" header="0.3" footer="0.3"/>
  <x:tableParts count="1">
    <x:tablePart xmlns:r="http://schemas.openxmlformats.org/officeDocument/2006/relationships" r:id="R1fcf30f8496b43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46" t="str">
        <x:v>Regla</x:v>
      </x:c>
      <x:c r="B1" s="46" t="str">
        <x:v>Explicación</x:v>
      </x:c>
    </x:row>
    <x:row r="2">
      <x:c r="A2" s="14" t="str">
        <x:v>No inventar códigos de barra</x:v>
      </x:c>
      <x:c r="B2" s="14" t="str">
        <x:v>Deja codigo_barra vacío hasta escanearlo o confirmarlo con API/proveedor.</x:v>
      </x:c>
    </x:row>
    <x:row r="3">
      <x:c r="A3" s="14" t="str">
        <x:v>Producto base vs presentación</x:v>
      </x:c>
      <x:c r="B3" s="14" t="str">
        <x:v>El producto base va una sola vez; cada tamaño o empaque vendible va como presentación.</x:v>
      </x:c>
    </x:row>
    <x:row r="4">
      <x:c r="A4" s="14" t="str">
        <x:v>Caja o pack</x:v>
      </x:c>
      <x:c r="B4" s="14" t="str">
        <x:v>Si una caja se puede vender o descomprimir, usa presentacion_base_codigo apuntando a la presentación individual.</x:v>
      </x:c>
    </x:row>
    <x:row r="5">
      <x:c r="A5" s="14" t="str">
        <x:v>Normalizar marcas</x:v>
      </x:c>
      <x:c r="B5" s="14" t="str">
        <x:v>Usa un solo nombre: por ejemplo, Gloria, no GLORIA / Gloria S.A. / Marca Gloria.</x:v>
      </x:c>
    </x:row>
    <x:row r="6">
      <x:c r="A6" s="14" t="str">
        <x:v>Normalizar unidades</x:v>
      </x:c>
      <x:c r="B6" s="14" t="str">
        <x:v>Usa solo abreviaturas de la hoja Unidades: und, g, kg, ml, L.</x:v>
      </x:c>
    </x:row>
    <x:row r="7">
      <x:c r="A7" s="14" t="str">
        <x:v>Revisión antes de importar</x:v>
      </x:c>
      <x:c r="B7" s="14" t="str">
        <x:v>Usa estado_importacion = pendiente_revision hasta validar datos.</x:v>
      </x:c>
    </x:row>
    <x:row r="8">
      <x:c r="A8" s="14" t="str">
        <x:v>Slug</x:v>
      </x:c>
      <x:c r="B8" s="14" t="str">
        <x:v>El slug sugerido es solo apoyo; en Laravel es mejor generarlo con Str::slug().</x:v>
      </x:c>
    </x:row>
    <x:row r="9">
      <x:c r="A9" s="14" t="str">
        <x:v>IGV</x:v>
      </x:c>
      <x:c r="B9" s="14" t="str">
        <x:v>afecto_igv se dejó en TRUE como ejemplo; ajústalo según tu operación contable.</x:v>
      </x:c>
    </x:row>
  </x:sheetData>
  <x:pageMargins left="0.7" right="0.7" top="0.75" bottom="0.75" header="0.3" footer="0.3"/>
  <x:tableParts count="1">
    <x:tablePart xmlns:r="http://schemas.openxmlformats.org/officeDocument/2006/relationships" r:id="Rd70a74df9c7b474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</x:cols>
  <x:sheetData>
    <x:row r="1">
      <x:c r="A1" s="50" t="str">
        <x:v>Métrica</x:v>
      </x:c>
      <x:c r="B1" s="50" t="str">
        <x:v>Valor</x:v>
      </x:c>
    </x:row>
    <x:row r="2">
      <x:c r="A2" t="str">
        <x:v>Productos base distintos</x:v>
      </x:c>
      <x:c r="B2" s="52" t="n">
        <x:f>COUNTA(UNIQUE(Catalogo_Importacion!B2:B17))</x:f>
        <x:v>10</x:v>
      </x:c>
    </x:row>
    <x:row r="3">
      <x:c r="A3" t="str">
        <x:v>Presentaciones cargadas</x:v>
      </x:c>
      <x:c r="B3" s="52" t="n">
        <x:f>COUNTA(Catalogo_Importacion!J2:J17)</x:f>
        <x:v>16</x:v>
      </x:c>
    </x:row>
    <x:row r="4">
      <x:c r="A4" t="str">
        <x:v>Categorías usadas</x:v>
      </x:c>
      <x:c r="B4" s="52" t="n">
        <x:f>COUNTA(UNIQUE(Catalogo_Importacion!F2:F17))</x:f>
        <x:v>6</x:v>
      </x:c>
    </x:row>
    <x:row r="5">
      <x:c r="A5" t="str">
        <x:v>Marcas usadas</x:v>
      </x:c>
      <x:c r="B5" s="52" t="n">
        <x:f>COUNTA(UNIQUE(Catalogo_Importacion!E2:E17))</x:f>
        <x:v>10</x:v>
      </x:c>
    </x:row>
    <x:row r="6">
      <x:c r="A6" t="str">
        <x:v>Presentaciones con base para descomprimir</x:v>
      </x:c>
      <x:c r="B6" s="52" t="n">
        <x:f>COUNTIF(Catalogo_Importacion!K2:K17,"&lt;&gt;")</x:f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500bb157f10b4594"/>
  </x:tableParts>
</x:worksheet>
</file>